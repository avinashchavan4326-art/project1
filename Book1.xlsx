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3895" windowHeight="9735" activeTab="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9" i="3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L12" i="2"/>
  <c r="L11"/>
  <c r="L10"/>
  <c r="L9"/>
  <c r="L8"/>
  <c r="L7"/>
  <c r="L6"/>
  <c r="L5"/>
  <c r="L4"/>
  <c r="L3"/>
  <c r="K12"/>
  <c r="K11"/>
  <c r="K10"/>
  <c r="K9"/>
  <c r="K8"/>
  <c r="K7"/>
  <c r="K6"/>
  <c r="K5"/>
  <c r="K4"/>
  <c r="K3"/>
  <c r="J12"/>
  <c r="J11"/>
  <c r="J10"/>
  <c r="J9"/>
  <c r="J8"/>
  <c r="J7"/>
  <c r="J6"/>
  <c r="J5"/>
  <c r="J4"/>
  <c r="J3"/>
  <c r="H12"/>
  <c r="H11"/>
  <c r="H10"/>
  <c r="H9"/>
  <c r="H8"/>
  <c r="H7"/>
  <c r="H6"/>
  <c r="H5"/>
  <c r="H4"/>
  <c r="H3"/>
  <c r="F12"/>
  <c r="F11"/>
  <c r="F10"/>
  <c r="F9"/>
  <c r="F8"/>
  <c r="F7"/>
  <c r="F6"/>
  <c r="F5"/>
  <c r="F4"/>
  <c r="F3"/>
  <c r="C14" i="1"/>
  <c r="C13"/>
  <c r="C12"/>
  <c r="C11"/>
  <c r="C10"/>
  <c r="C8"/>
  <c r="C7"/>
  <c r="C6"/>
  <c r="C5"/>
  <c r="C4"/>
</calcChain>
</file>

<file path=xl/sharedStrings.xml><?xml version="1.0" encoding="utf-8"?>
<sst xmlns="http://schemas.openxmlformats.org/spreadsheetml/2006/main" count="107" uniqueCount="88">
  <si>
    <t xml:space="preserve"> </t>
  </si>
  <si>
    <t>Get percentage discount</t>
  </si>
  <si>
    <t>Item</t>
  </si>
  <si>
    <t>Price</t>
  </si>
  <si>
    <t>Sale price</t>
  </si>
  <si>
    <t>Discount</t>
  </si>
  <si>
    <t>Charcoal grill</t>
  </si>
  <si>
    <t>Gas grill 2 burner</t>
  </si>
  <si>
    <t>Gas grill 2 burner stainless</t>
  </si>
  <si>
    <t>Deluxe stainless grill</t>
  </si>
  <si>
    <t>Grilling tools</t>
  </si>
  <si>
    <t>Digital temperature probe</t>
  </si>
  <si>
    <t>Wood pellet smoker 450</t>
  </si>
  <si>
    <t>Wood pellet smoker 600</t>
  </si>
  <si>
    <t>Wood pellet smoker 900</t>
  </si>
  <si>
    <t>Wood pellets hickory</t>
  </si>
  <si>
    <t>Wood pellets gournets blend</t>
  </si>
  <si>
    <t>Salary Report</t>
  </si>
  <si>
    <t xml:space="preserve">Employee Number </t>
  </si>
  <si>
    <t xml:space="preserve">Employee Name </t>
  </si>
  <si>
    <t>Basic pay</t>
  </si>
  <si>
    <t>Travling Allowance(TA)</t>
  </si>
  <si>
    <t>House Rent Allowance(HRA)</t>
  </si>
  <si>
    <t>Dearness Allowance(DA)</t>
  </si>
  <si>
    <t>Gross pay</t>
  </si>
  <si>
    <t>Income Tax</t>
  </si>
  <si>
    <t xml:space="preserve">Aman Gupta </t>
  </si>
  <si>
    <t xml:space="preserve">Trisha Sharma </t>
  </si>
  <si>
    <t>Krishna S C</t>
  </si>
  <si>
    <t>Provident Fund</t>
  </si>
  <si>
    <t>Net Pay</t>
  </si>
  <si>
    <t>T Abhay</t>
  </si>
  <si>
    <t>Sarah E</t>
  </si>
  <si>
    <t>Seema B K</t>
  </si>
  <si>
    <t>Nandeesh J K</t>
  </si>
  <si>
    <t>Varsha V</t>
  </si>
  <si>
    <t>Deepa K</t>
  </si>
  <si>
    <t>Laxmi G</t>
  </si>
  <si>
    <t>Deduction</t>
  </si>
  <si>
    <t>S.NO</t>
  </si>
  <si>
    <t>PRODUCT CODE</t>
  </si>
  <si>
    <t>PRODUCT NAME</t>
  </si>
  <si>
    <t>TYPE OF THE PRODUCT</t>
  </si>
  <si>
    <t>MRP</t>
  </si>
  <si>
    <t>DISCOUNT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</si>
  <si>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</si>
  <si>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</si>
  <si>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</si>
  <si>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</si>
  <si>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</si>
  <si>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</si>
  <si>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</si>
  <si>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</si>
  <si>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</si>
  <si>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</si>
  <si>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</si>
  <si>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</si>
  <si>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</si>
  <si>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</si>
  <si>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</si>
  <si>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</si>
  <si>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</si>
  <si>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</si>
  <si>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</si>
  <si>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</si>
  <si>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LAPTOP</t>
  </si>
  <si>
    <t>CPU</t>
  </si>
  <si>
    <t>MONITOR</t>
  </si>
  <si>
    <t>CLOCK</t>
  </si>
  <si>
    <t>MOBILE</t>
  </si>
  <si>
    <t>WATCH</t>
  </si>
  <si>
    <t>ROBOT</t>
  </si>
  <si>
    <t xml:space="preserve">PRINTER </t>
  </si>
  <si>
    <t>SWITCH</t>
  </si>
  <si>
    <t>KEYBOARD</t>
  </si>
  <si>
    <t>EARBUDS</t>
  </si>
  <si>
    <t>INVERTER</t>
  </si>
  <si>
    <t>AC</t>
  </si>
  <si>
    <t>LIGHT</t>
  </si>
  <si>
    <t>SYSTEM</t>
  </si>
  <si>
    <t>CAR</t>
  </si>
  <si>
    <t>BIKE</t>
  </si>
  <si>
    <t>CAMERA</t>
  </si>
  <si>
    <t>MICROWAVE</t>
  </si>
  <si>
    <t>FAN</t>
  </si>
  <si>
    <t>ELECTRONIC</t>
  </si>
  <si>
    <t>PRICE</t>
  </si>
  <si>
    <t>INVENTORY DATA ITEMS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</si>
</sst>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/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0" fillId="0" borderId="0" xfId="0" applyNumberFormat="1"/>
    <xf numFmtId="0" fontId="0" fillId="5" borderId="1" xfId="0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5" borderId="1" xfId="0" applyFill="1" applyBorder="1" applyAlignment="1">
      <alignment horizontal="left"/>
    </xf>
    <xf numFmtId="0" fontId="0" fillId="5" borderId="1" xfId="0" applyNumberFormat="1" applyFill="1" applyBorder="1" applyAlignment="1">
      <alignment horizontal="right"/>
    </xf>
    <xf numFmtId="0" fontId="1" fillId="0" borderId="0" xfId="0" applyFont="1" applyAlignment="1"/>
    <xf numFmtId="0" fontId="0" fillId="0" borderId="0" xfId="0" applyAlignment="1"/>
    <xf numFmtId="0" fontId="2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9" fontId="0" fillId="7" borderId="2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9" fontId="0" fillId="7" borderId="1" xfId="1" applyFont="1" applyFill="1" applyBorder="1" applyAlignment="1">
      <alignment horizontal="center"/>
    </xf>
    <xf numFmtId="9" fontId="0" fillId="7" borderId="11" xfId="1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perspective val="30"/>
    </c:view3D>
    <c:plotArea>
      <c:layout/>
      <c:bar3DChart>
        <c:barDir val="col"/>
        <c:grouping val="standard"/>
        <c:ser>
          <c:idx val="0"/>
          <c:order val="0"/>
          <c:cat>
            <c:strRef>
              <c:f>Sheet1!$A$4:$A$14</c:f>
              <c:strCache>
                <c:ptCount val="11"/>
                <c:pt idx="0">
                  <c:v>Charcoal grill</c:v>
                </c:pt>
                <c:pt idx="1">
                  <c:v>Gas grill 2 burner</c:v>
                </c:pt>
                <c:pt idx="2">
                  <c:v>Gas grill 2 burner stainless</c:v>
                </c:pt>
                <c:pt idx="3">
                  <c:v>Deluxe stainless grill</c:v>
                </c:pt>
                <c:pt idx="4">
                  <c:v>Grilling tools</c:v>
                </c:pt>
                <c:pt idx="5">
                  <c:v>Digital temperature probe</c:v>
                </c:pt>
                <c:pt idx="6">
                  <c:v>Wood pellet smoker 450</c:v>
                </c:pt>
                <c:pt idx="7">
                  <c:v>Wood pellet smoker 600</c:v>
                </c:pt>
                <c:pt idx="8">
                  <c:v>Wood pellet smoker 900</c:v>
                </c:pt>
                <c:pt idx="9">
                  <c:v>Wood pellets hickory</c:v>
                </c:pt>
                <c:pt idx="10">
                  <c:v>Wood pellets gournets blend</c:v>
                </c:pt>
              </c:strCache>
            </c:strRef>
          </c:cat>
          <c:val>
            <c:numRef>
              <c:f>Sheet1!$B$4:$B$14</c:f>
              <c:numCache>
                <c:formatCode>0.00</c:formatCode>
                <c:ptCount val="11"/>
                <c:pt idx="0">
                  <c:v>70</c:v>
                </c:pt>
                <c:pt idx="1">
                  <c:v>245</c:v>
                </c:pt>
                <c:pt idx="2">
                  <c:v>245</c:v>
                </c:pt>
                <c:pt idx="3">
                  <c:v>450</c:v>
                </c:pt>
                <c:pt idx="4">
                  <c:v>45</c:v>
                </c:pt>
                <c:pt idx="5">
                  <c:v>95</c:v>
                </c:pt>
                <c:pt idx="6">
                  <c:v>999</c:v>
                </c:pt>
                <c:pt idx="7">
                  <c:v>1299</c:v>
                </c:pt>
                <c:pt idx="8">
                  <c:v>1599</c:v>
                </c:pt>
                <c:pt idx="9">
                  <c:v>19</c:v>
                </c:pt>
                <c:pt idx="10">
                  <c:v>19</c:v>
                </c:pt>
              </c:numCache>
            </c:numRef>
          </c:val>
        </c:ser>
        <c:ser>
          <c:idx val="1"/>
          <c:order val="1"/>
          <c:cat>
            <c:strRef>
              <c:f>Sheet1!$A$4:$A$14</c:f>
              <c:strCache>
                <c:ptCount val="11"/>
                <c:pt idx="0">
                  <c:v>Charcoal grill</c:v>
                </c:pt>
                <c:pt idx="1">
                  <c:v>Gas grill 2 burner</c:v>
                </c:pt>
                <c:pt idx="2">
                  <c:v>Gas grill 2 burner stainless</c:v>
                </c:pt>
                <c:pt idx="3">
                  <c:v>Deluxe stainless grill</c:v>
                </c:pt>
                <c:pt idx="4">
                  <c:v>Grilling tools</c:v>
                </c:pt>
                <c:pt idx="5">
                  <c:v>Digital temperature probe</c:v>
                </c:pt>
                <c:pt idx="6">
                  <c:v>Wood pellet smoker 450</c:v>
                </c:pt>
                <c:pt idx="7">
                  <c:v>Wood pellet smoker 600</c:v>
                </c:pt>
                <c:pt idx="8">
                  <c:v>Wood pellet smoker 900</c:v>
                </c:pt>
                <c:pt idx="9">
                  <c:v>Wood pellets hickory</c:v>
                </c:pt>
                <c:pt idx="10">
                  <c:v>Wood pellets gournets blend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10.5</c:v>
                </c:pt>
                <c:pt idx="1">
                  <c:v>44.1</c:v>
                </c:pt>
                <c:pt idx="2">
                  <c:v>36.75</c:v>
                </c:pt>
                <c:pt idx="3" formatCode="0.00">
                  <c:v>45</c:v>
                </c:pt>
                <c:pt idx="4" formatCode="0.00">
                  <c:v>9</c:v>
                </c:pt>
                <c:pt idx="5" formatCode="0.00">
                  <c:v>95</c:v>
                </c:pt>
                <c:pt idx="6">
                  <c:v>99.9</c:v>
                </c:pt>
                <c:pt idx="7">
                  <c:v>246.81</c:v>
                </c:pt>
                <c:pt idx="8">
                  <c:v>303.81</c:v>
                </c:pt>
                <c:pt idx="9">
                  <c:v>4.75</c:v>
                </c:pt>
                <c:pt idx="10">
                  <c:v>2.85</c:v>
                </c:pt>
              </c:numCache>
            </c:numRef>
          </c:val>
        </c:ser>
        <c:ser>
          <c:idx val="2"/>
          <c:order val="2"/>
          <c:cat>
            <c:strRef>
              <c:f>Sheet1!$A$4:$A$14</c:f>
              <c:strCache>
                <c:ptCount val="11"/>
                <c:pt idx="0">
                  <c:v>Charcoal grill</c:v>
                </c:pt>
                <c:pt idx="1">
                  <c:v>Gas grill 2 burner</c:v>
                </c:pt>
                <c:pt idx="2">
                  <c:v>Gas grill 2 burner stainless</c:v>
                </c:pt>
                <c:pt idx="3">
                  <c:v>Deluxe stainless grill</c:v>
                </c:pt>
                <c:pt idx="4">
                  <c:v>Grilling tools</c:v>
                </c:pt>
                <c:pt idx="5">
                  <c:v>Digital temperature probe</c:v>
                </c:pt>
                <c:pt idx="6">
                  <c:v>Wood pellet smoker 450</c:v>
                </c:pt>
                <c:pt idx="7">
                  <c:v>Wood pellet smoker 600</c:v>
                </c:pt>
                <c:pt idx="8">
                  <c:v>Wood pellet smoker 900</c:v>
                </c:pt>
                <c:pt idx="9">
                  <c:v>Wood pellets hickory</c:v>
                </c:pt>
                <c:pt idx="10">
                  <c:v>Wood pellets gournets blend</c:v>
                </c:pt>
              </c:strCache>
            </c:strRef>
          </c:cat>
          <c:val>
            <c:numRef>
              <c:f>Sheet1!$D$4:$D$14</c:f>
              <c:numCache>
                <c:formatCode>0%</c:formatCode>
                <c:ptCount val="11"/>
                <c:pt idx="0">
                  <c:v>0.15</c:v>
                </c:pt>
                <c:pt idx="1">
                  <c:v>0.18</c:v>
                </c:pt>
                <c:pt idx="2">
                  <c:v>0.15</c:v>
                </c:pt>
                <c:pt idx="3">
                  <c:v>0.1</c:v>
                </c:pt>
                <c:pt idx="4">
                  <c:v>0.2</c:v>
                </c:pt>
                <c:pt idx="5">
                  <c:v>0</c:v>
                </c:pt>
                <c:pt idx="6">
                  <c:v>0.1</c:v>
                </c:pt>
                <c:pt idx="7">
                  <c:v>0.19</c:v>
                </c:pt>
                <c:pt idx="8">
                  <c:v>0.19</c:v>
                </c:pt>
                <c:pt idx="9">
                  <c:v>0.25</c:v>
                </c:pt>
                <c:pt idx="10">
                  <c:v>0.15</c:v>
                </c:pt>
              </c:numCache>
            </c:numRef>
          </c:val>
        </c:ser>
        <c:shape val="box"/>
        <c:axId val="183316864"/>
        <c:axId val="183358592"/>
        <c:axId val="82354624"/>
      </c:bar3DChart>
      <c:catAx>
        <c:axId val="183316864"/>
        <c:scaling>
          <c:orientation val="minMax"/>
        </c:scaling>
        <c:axPos val="b"/>
        <c:tickLblPos val="nextTo"/>
        <c:crossAx val="183358592"/>
        <c:crosses val="autoZero"/>
        <c:auto val="1"/>
        <c:lblAlgn val="ctr"/>
        <c:lblOffset val="100"/>
      </c:catAx>
      <c:valAx>
        <c:axId val="183358592"/>
        <c:scaling>
          <c:orientation val="minMax"/>
        </c:scaling>
        <c:axPos val="l"/>
        <c:majorGridlines/>
        <c:numFmt formatCode="0.00" sourceLinked="1"/>
        <c:tickLblPos val="nextTo"/>
        <c:crossAx val="183316864"/>
        <c:crosses val="autoZero"/>
        <c:crossBetween val="between"/>
      </c:valAx>
      <c:serAx>
        <c:axId val="82354624"/>
        <c:scaling>
          <c:orientation val="minMax"/>
        </c:scaling>
        <c:axPos val="b"/>
        <c:tickLblPos val="nextTo"/>
        <c:crossAx val="183358592"/>
        <c:crosses val="autoZero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30"/>
      <c:perspective val="30"/>
    </c:view3D>
    <c:plotArea>
      <c:layout/>
      <c:pie3DChart>
        <c:varyColors val="1"/>
        <c:ser>
          <c:idx val="0"/>
          <c:order val="0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Sheet2!$D$3:$D$12</c:f>
              <c:numCache>
                <c:formatCode>General</c:formatCode>
                <c:ptCount val="10"/>
                <c:pt idx="0">
                  <c:v>25560</c:v>
                </c:pt>
                <c:pt idx="1">
                  <c:v>35000</c:v>
                </c:pt>
                <c:pt idx="2">
                  <c:v>32000</c:v>
                </c:pt>
                <c:pt idx="3">
                  <c:v>27600</c:v>
                </c:pt>
                <c:pt idx="4">
                  <c:v>29300</c:v>
                </c:pt>
                <c:pt idx="5">
                  <c:v>40000</c:v>
                </c:pt>
                <c:pt idx="6">
                  <c:v>35700</c:v>
                </c:pt>
                <c:pt idx="7">
                  <c:v>28700</c:v>
                </c:pt>
                <c:pt idx="8">
                  <c:v>32000</c:v>
                </c:pt>
                <c:pt idx="9">
                  <c:v>23600</c:v>
                </c:pt>
              </c:numCache>
            </c:numRef>
          </c:val>
        </c:ser>
        <c:ser>
          <c:idx val="1"/>
          <c:order val="1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Sheet2!$E$3:$E$12</c:f>
              <c:numCache>
                <c:formatCode>General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val>
        </c:ser>
        <c:ser>
          <c:idx val="2"/>
          <c:order val="2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Sheet2!$F$3:$F$12</c:f>
              <c:numCache>
                <c:formatCode>General</c:formatCode>
                <c:ptCount val="10"/>
                <c:pt idx="0">
                  <c:v>2556</c:v>
                </c:pt>
                <c:pt idx="1">
                  <c:v>3500</c:v>
                </c:pt>
                <c:pt idx="2">
                  <c:v>3200</c:v>
                </c:pt>
                <c:pt idx="3">
                  <c:v>2760</c:v>
                </c:pt>
                <c:pt idx="4">
                  <c:v>2930</c:v>
                </c:pt>
                <c:pt idx="5">
                  <c:v>4000</c:v>
                </c:pt>
                <c:pt idx="6">
                  <c:v>3570</c:v>
                </c:pt>
                <c:pt idx="7">
                  <c:v>2870</c:v>
                </c:pt>
                <c:pt idx="8">
                  <c:v>3200</c:v>
                </c:pt>
                <c:pt idx="9">
                  <c:v>2360</c:v>
                </c:pt>
              </c:numCache>
            </c:numRef>
          </c:val>
        </c:ser>
        <c:ser>
          <c:idx val="3"/>
          <c:order val="3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Sheet2!$G$3:$G$12</c:f>
              <c:numCache>
                <c:formatCode>General</c:formatCode>
                <c:ptCount val="1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</c:numCache>
            </c:numRef>
          </c:val>
        </c:ser>
        <c:ser>
          <c:idx val="4"/>
          <c:order val="4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Sheet2!$H$3:$H$12</c:f>
              <c:numCache>
                <c:formatCode>General</c:formatCode>
                <c:ptCount val="10"/>
                <c:pt idx="0">
                  <c:v>29616</c:v>
                </c:pt>
                <c:pt idx="1">
                  <c:v>40000</c:v>
                </c:pt>
                <c:pt idx="2">
                  <c:v>36700</c:v>
                </c:pt>
                <c:pt idx="3">
                  <c:v>31860</c:v>
                </c:pt>
                <c:pt idx="4">
                  <c:v>33730</c:v>
                </c:pt>
                <c:pt idx="5">
                  <c:v>45500</c:v>
                </c:pt>
                <c:pt idx="6">
                  <c:v>40770</c:v>
                </c:pt>
                <c:pt idx="7">
                  <c:v>33070</c:v>
                </c:pt>
                <c:pt idx="8">
                  <c:v>36700</c:v>
                </c:pt>
                <c:pt idx="9">
                  <c:v>27460</c:v>
                </c:pt>
              </c:numCache>
            </c:numRef>
          </c:val>
        </c:ser>
        <c:ser>
          <c:idx val="5"/>
          <c:order val="5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Sheet2!$I$3:$I$12</c:f>
              <c:numCache>
                <c:formatCode>General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val>
        </c:ser>
        <c:ser>
          <c:idx val="6"/>
          <c:order val="6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Sheet2!$J$3:$J$12</c:f>
              <c:numCache>
                <c:formatCode>0</c:formatCode>
                <c:ptCount val="10"/>
                <c:pt idx="0">
                  <c:v>810.25199999999995</c:v>
                </c:pt>
                <c:pt idx="1">
                  <c:v>1109.5</c:v>
                </c:pt>
                <c:pt idx="2">
                  <c:v>1014.4</c:v>
                </c:pt>
                <c:pt idx="3">
                  <c:v>874.92</c:v>
                </c:pt>
                <c:pt idx="4">
                  <c:v>928.81</c:v>
                </c:pt>
                <c:pt idx="5">
                  <c:v>1268</c:v>
                </c:pt>
                <c:pt idx="6">
                  <c:v>1131.69</c:v>
                </c:pt>
                <c:pt idx="7">
                  <c:v>909.79</c:v>
                </c:pt>
                <c:pt idx="8">
                  <c:v>1014.4</c:v>
                </c:pt>
                <c:pt idx="9">
                  <c:v>748.12</c:v>
                </c:pt>
              </c:numCache>
            </c:numRef>
          </c:val>
        </c:ser>
        <c:ser>
          <c:idx val="7"/>
          <c:order val="7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Sheet2!$K$3:$K$12</c:f>
              <c:numCache>
                <c:formatCode>0</c:formatCode>
                <c:ptCount val="10"/>
                <c:pt idx="0">
                  <c:v>1310.252</c:v>
                </c:pt>
                <c:pt idx="1">
                  <c:v>1609.5</c:v>
                </c:pt>
                <c:pt idx="2">
                  <c:v>1514.4</c:v>
                </c:pt>
                <c:pt idx="3">
                  <c:v>1374.92</c:v>
                </c:pt>
                <c:pt idx="4">
                  <c:v>1428.81</c:v>
                </c:pt>
                <c:pt idx="5">
                  <c:v>1768</c:v>
                </c:pt>
                <c:pt idx="6">
                  <c:v>1631.69</c:v>
                </c:pt>
                <c:pt idx="7">
                  <c:v>1409.79</c:v>
                </c:pt>
                <c:pt idx="8">
                  <c:v>1514.4</c:v>
                </c:pt>
                <c:pt idx="9">
                  <c:v>1248.1199999999999</c:v>
                </c:pt>
              </c:numCache>
            </c:numRef>
          </c:val>
        </c:ser>
        <c:ser>
          <c:idx val="8"/>
          <c:order val="8"/>
          <c:cat>
            <c:multiLvlStrRef>
              <c:f>Sheet2!$A$3:$C$12</c:f>
              <c:multiLvlStrCache>
                <c:ptCount val="10"/>
                <c:lvl>
                  <c:pt idx="0">
                    <c:v>Aman Gupta </c:v>
                  </c:pt>
                  <c:pt idx="1">
                    <c:v>Trisha Sharma </c:v>
                  </c:pt>
                  <c:pt idx="2">
                    <c:v>Krishna S C</c:v>
                  </c:pt>
                  <c:pt idx="3">
                    <c:v>T Abhay</c:v>
                  </c:pt>
                  <c:pt idx="4">
                    <c:v>Sarah E</c:v>
                  </c:pt>
                  <c:pt idx="5">
                    <c:v>Seema B K</c:v>
                  </c:pt>
                  <c:pt idx="6">
                    <c:v>Nandeesh J K</c:v>
                  </c:pt>
                  <c:pt idx="7">
                    <c:v>Varsha V</c:v>
                  </c:pt>
                  <c:pt idx="8">
                    <c:v>Deepa K</c:v>
                  </c:pt>
                  <c:pt idx="9">
                    <c:v>Laxmi G</c:v>
                  </c:pt>
                </c:lvl>
                <c:lvl>
                  <c:pt idx="0">
                    <c:v>20110</c:v>
                  </c:pt>
                  <c:pt idx="1">
                    <c:v>20111</c:v>
                  </c:pt>
                  <c:pt idx="2">
                    <c:v>20112</c:v>
                  </c:pt>
                  <c:pt idx="3">
                    <c:v>20113</c:v>
                  </c:pt>
                  <c:pt idx="4">
                    <c:v>20114</c:v>
                  </c:pt>
                  <c:pt idx="5">
                    <c:v>20115</c:v>
                  </c:pt>
                  <c:pt idx="6">
                    <c:v>20116</c:v>
                  </c:pt>
                  <c:pt idx="7">
                    <c:v>20117</c:v>
                  </c:pt>
                  <c:pt idx="8">
                    <c:v>20118</c:v>
                  </c:pt>
                  <c:pt idx="9">
                    <c:v>20119</c:v>
                  </c:pt>
                </c:lvl>
              </c:multiLvlStrCache>
            </c:multiLvlStrRef>
          </c:cat>
          <c:val>
            <c:numRef>
              <c:f>Sheet2!$L$3:$L$12</c:f>
              <c:numCache>
                <c:formatCode>0</c:formatCode>
                <c:ptCount val="10"/>
                <c:pt idx="0">
                  <c:v>28305.748</c:v>
                </c:pt>
                <c:pt idx="1">
                  <c:v>38390.5</c:v>
                </c:pt>
                <c:pt idx="2">
                  <c:v>35185.599999999999</c:v>
                </c:pt>
                <c:pt idx="3">
                  <c:v>30485.08</c:v>
                </c:pt>
                <c:pt idx="4">
                  <c:v>32301.19</c:v>
                </c:pt>
                <c:pt idx="5">
                  <c:v>43732</c:v>
                </c:pt>
                <c:pt idx="6">
                  <c:v>39138.31</c:v>
                </c:pt>
                <c:pt idx="7">
                  <c:v>31660.21</c:v>
                </c:pt>
                <c:pt idx="8">
                  <c:v>35185.599999999999</c:v>
                </c:pt>
                <c:pt idx="9">
                  <c:v>26211.88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otX val="30"/>
      <c:perspective val="30"/>
    </c:view3D>
    <c:plotArea>
      <c:layout/>
      <c:pie3DChart>
        <c:varyColors val="1"/>
        <c:ser>
          <c:idx val="0"/>
          <c:order val="0"/>
          <c:cat>
            <c:multiLvlStrRef>
              <c:f>Sheet3!$F$9:$G$28</c:f>
              <c:multiLvlStrCache>
                <c:ptCount val="20"/>
                <c:lvl>
                  <c:pt idx="0">
                    <c:v>ELECTRONIC</c:v>
                  </c:pt>
                  <c:pt idx="1">
                    <c:v>ELECTRONIC</c:v>
                  </c:pt>
                  <c:pt idx="2">
                    <c:v>ELECTRONIC</c:v>
                  </c:pt>
                  <c:pt idx="3">
                    <c:v>ELECTRONIC</c:v>
                  </c:pt>
                  <c:pt idx="4">
                    <c:v>ELECTRONIC</c:v>
                  </c:pt>
                  <c:pt idx="5">
                    <c:v>ELECTRONIC</c:v>
                  </c:pt>
                  <c:pt idx="6">
                    <c:v>ELECTRONIC</c:v>
                  </c:pt>
                  <c:pt idx="7">
                    <c:v>ELECTRONIC</c:v>
                  </c:pt>
                  <c:pt idx="8">
                    <c:v>ELECTRONIC</c:v>
                  </c:pt>
                  <c:pt idx="9">
                    <c:v>ELECTRONIC</c:v>
                  </c:pt>
                  <c:pt idx="10">
                    <c:v>ELECTRONIC</c:v>
                  </c:pt>
                  <c:pt idx="11">
                    <c:v>ELECTRONIC</c:v>
                  </c:pt>
                  <c:pt idx="12">
                    <c:v>ELECTRONIC</c:v>
                  </c:pt>
                  <c:pt idx="13">
                    <c:v>ELECTRONIC</c:v>
                  </c:pt>
                  <c:pt idx="14">
                    <c:v>ELECTRONIC</c:v>
                  </c:pt>
                  <c:pt idx="15">
                    <c:v>ELECTRONIC</c:v>
                  </c:pt>
                  <c:pt idx="16">
                    <c:v>ELECTRONIC</c:v>
                  </c:pt>
                  <c:pt idx="17">
                    <c:v>ELECTRONIC</c:v>
                  </c:pt>
                  <c:pt idx="18">
                    <c:v>ELECTRONIC</c:v>
                  </c:pt>
                  <c:pt idx="19">
                    <c:v>ELECTRONIC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CLOCK</c:v>
                  </c:pt>
                  <c:pt idx="4">
                    <c:v>MOBILE</c:v>
                  </c:pt>
                  <c:pt idx="5">
                    <c:v>WATCH</c:v>
                  </c:pt>
                  <c:pt idx="6">
                    <c:v>ROBOT</c:v>
                  </c:pt>
                  <c:pt idx="7">
                    <c:v>PRINTER </c:v>
                  </c:pt>
                  <c:pt idx="8">
                    <c:v>SWITCH</c:v>
                  </c:pt>
                  <c:pt idx="9">
                    <c:v>KEYBOARD</c:v>
                  </c:pt>
                  <c:pt idx="10">
                    <c:v>EARBUDS</c:v>
                  </c:pt>
                  <c:pt idx="11">
                    <c:v>INVERTER</c:v>
                  </c:pt>
                  <c:pt idx="12">
                    <c:v>AC</c:v>
                  </c:pt>
                  <c:pt idx="13">
                    <c:v>LIGHT</c:v>
                  </c:pt>
                  <c:pt idx="14">
                    <c:v>SYSTEM</c:v>
                  </c:pt>
                  <c:pt idx="15">
                    <c:v>CAR</c:v>
                  </c:pt>
                  <c:pt idx="16">
                    <c:v>BIKE</c:v>
                  </c:pt>
                  <c:pt idx="17">
                    <c:v>CAMERA</c:v>
                  </c:pt>
                  <c:pt idx="18">
                    <c:v>MICROWAVE</c:v>
                  </c:pt>
                  <c:pt idx="19">
                    <c:v>FAN</c:v>
                  </c:pt>
                </c:lvl>
              </c:multiLvlStrCache>
            </c:multiLvlStrRef>
          </c:cat>
          <c:val>
            <c:numRef>
              <c:f>Sheet3!$H$9:$H$28</c:f>
              <c:numCache>
                <c:formatCode>General</c:formatCode>
                <c:ptCount val="20"/>
                <c:pt idx="0">
                  <c:v>50000</c:v>
                </c:pt>
                <c:pt idx="1">
                  <c:v>5000</c:v>
                </c:pt>
                <c:pt idx="2">
                  <c:v>3000</c:v>
                </c:pt>
                <c:pt idx="3">
                  <c:v>690</c:v>
                </c:pt>
                <c:pt idx="4">
                  <c:v>25000</c:v>
                </c:pt>
                <c:pt idx="5">
                  <c:v>2000</c:v>
                </c:pt>
                <c:pt idx="6">
                  <c:v>100000</c:v>
                </c:pt>
                <c:pt idx="7">
                  <c:v>3000</c:v>
                </c:pt>
                <c:pt idx="8">
                  <c:v>500</c:v>
                </c:pt>
                <c:pt idx="9">
                  <c:v>6000</c:v>
                </c:pt>
                <c:pt idx="10">
                  <c:v>10000</c:v>
                </c:pt>
                <c:pt idx="11">
                  <c:v>60000</c:v>
                </c:pt>
                <c:pt idx="12">
                  <c:v>30000</c:v>
                </c:pt>
                <c:pt idx="13">
                  <c:v>100</c:v>
                </c:pt>
                <c:pt idx="14">
                  <c:v>68000</c:v>
                </c:pt>
                <c:pt idx="15">
                  <c:v>3000000</c:v>
                </c:pt>
                <c:pt idx="16">
                  <c:v>1000000</c:v>
                </c:pt>
                <c:pt idx="17">
                  <c:v>13000</c:v>
                </c:pt>
                <c:pt idx="18">
                  <c:v>13000</c:v>
                </c:pt>
                <c:pt idx="19">
                  <c:v>1600</c:v>
                </c:pt>
              </c:numCache>
            </c:numRef>
          </c:val>
        </c:ser>
        <c:ser>
          <c:idx val="1"/>
          <c:order val="1"/>
          <c:cat>
            <c:multiLvlStrRef>
              <c:f>Sheet3!$F$9:$G$28</c:f>
              <c:multiLvlStrCache>
                <c:ptCount val="20"/>
                <c:lvl>
                  <c:pt idx="0">
                    <c:v>ELECTRONIC</c:v>
                  </c:pt>
                  <c:pt idx="1">
                    <c:v>ELECTRONIC</c:v>
                  </c:pt>
                  <c:pt idx="2">
                    <c:v>ELECTRONIC</c:v>
                  </c:pt>
                  <c:pt idx="3">
                    <c:v>ELECTRONIC</c:v>
                  </c:pt>
                  <c:pt idx="4">
                    <c:v>ELECTRONIC</c:v>
                  </c:pt>
                  <c:pt idx="5">
                    <c:v>ELECTRONIC</c:v>
                  </c:pt>
                  <c:pt idx="6">
                    <c:v>ELECTRONIC</c:v>
                  </c:pt>
                  <c:pt idx="7">
                    <c:v>ELECTRONIC</c:v>
                  </c:pt>
                  <c:pt idx="8">
                    <c:v>ELECTRONIC</c:v>
                  </c:pt>
                  <c:pt idx="9">
                    <c:v>ELECTRONIC</c:v>
                  </c:pt>
                  <c:pt idx="10">
                    <c:v>ELECTRONIC</c:v>
                  </c:pt>
                  <c:pt idx="11">
                    <c:v>ELECTRONIC</c:v>
                  </c:pt>
                  <c:pt idx="12">
                    <c:v>ELECTRONIC</c:v>
                  </c:pt>
                  <c:pt idx="13">
                    <c:v>ELECTRONIC</c:v>
                  </c:pt>
                  <c:pt idx="14">
                    <c:v>ELECTRONIC</c:v>
                  </c:pt>
                  <c:pt idx="15">
                    <c:v>ELECTRONIC</c:v>
                  </c:pt>
                  <c:pt idx="16">
                    <c:v>ELECTRONIC</c:v>
                  </c:pt>
                  <c:pt idx="17">
                    <c:v>ELECTRONIC</c:v>
                  </c:pt>
                  <c:pt idx="18">
                    <c:v>ELECTRONIC</c:v>
                  </c:pt>
                  <c:pt idx="19">
                    <c:v>ELECTRONIC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CLOCK</c:v>
                  </c:pt>
                  <c:pt idx="4">
                    <c:v>MOBILE</c:v>
                  </c:pt>
                  <c:pt idx="5">
                    <c:v>WATCH</c:v>
                  </c:pt>
                  <c:pt idx="6">
                    <c:v>ROBOT</c:v>
                  </c:pt>
                  <c:pt idx="7">
                    <c:v>PRINTER </c:v>
                  </c:pt>
                  <c:pt idx="8">
                    <c:v>SWITCH</c:v>
                  </c:pt>
                  <c:pt idx="9">
                    <c:v>KEYBOARD</c:v>
                  </c:pt>
                  <c:pt idx="10">
                    <c:v>EARBUDS</c:v>
                  </c:pt>
                  <c:pt idx="11">
                    <c:v>INVERTER</c:v>
                  </c:pt>
                  <c:pt idx="12">
                    <c:v>AC</c:v>
                  </c:pt>
                  <c:pt idx="13">
                    <c:v>LIGHT</c:v>
                  </c:pt>
                  <c:pt idx="14">
                    <c:v>SYSTEM</c:v>
                  </c:pt>
                  <c:pt idx="15">
                    <c:v>CAR</c:v>
                  </c:pt>
                  <c:pt idx="16">
                    <c:v>BIKE</c:v>
                  </c:pt>
                  <c:pt idx="17">
                    <c:v>CAMERA</c:v>
                  </c:pt>
                  <c:pt idx="18">
                    <c:v>MICROWAVE</c:v>
                  </c:pt>
                  <c:pt idx="19">
                    <c:v>FAN</c:v>
                  </c:pt>
                </c:lvl>
              </c:multiLvlStrCache>
            </c:multiLvlStrRef>
          </c:cat>
          <c:val>
            <c:numRef>
              <c:f>Sheet3!$I$9:$I$28</c:f>
              <c:numCache>
                <c:formatCode>0%</c:formatCode>
                <c:ptCount val="20"/>
                <c:pt idx="0">
                  <c:v>0.05</c:v>
                </c:pt>
                <c:pt idx="1">
                  <c:v>0.04</c:v>
                </c:pt>
                <c:pt idx="2">
                  <c:v>0.1</c:v>
                </c:pt>
                <c:pt idx="3">
                  <c:v>0.06</c:v>
                </c:pt>
                <c:pt idx="4">
                  <c:v>0.25</c:v>
                </c:pt>
                <c:pt idx="5">
                  <c:v>0.08</c:v>
                </c:pt>
                <c:pt idx="6">
                  <c:v>0.39</c:v>
                </c:pt>
                <c:pt idx="7">
                  <c:v>0.16</c:v>
                </c:pt>
                <c:pt idx="8">
                  <c:v>0.03</c:v>
                </c:pt>
                <c:pt idx="9">
                  <c:v>0.06</c:v>
                </c:pt>
                <c:pt idx="10">
                  <c:v>0.15</c:v>
                </c:pt>
                <c:pt idx="11">
                  <c:v>0.28999999999999998</c:v>
                </c:pt>
                <c:pt idx="12">
                  <c:v>0.18</c:v>
                </c:pt>
                <c:pt idx="13">
                  <c:v>7.0000000000000007E-2</c:v>
                </c:pt>
                <c:pt idx="14">
                  <c:v>0.35</c:v>
                </c:pt>
                <c:pt idx="15">
                  <c:v>0.4</c:v>
                </c:pt>
                <c:pt idx="16">
                  <c:v>0.2</c:v>
                </c:pt>
                <c:pt idx="17">
                  <c:v>0.23</c:v>
                </c:pt>
                <c:pt idx="18">
                  <c:v>0.22</c:v>
                </c:pt>
                <c:pt idx="19">
                  <c:v>0.11</c:v>
                </c:pt>
              </c:numCache>
            </c:numRef>
          </c:val>
        </c:ser>
        <c:ser>
          <c:idx val="2"/>
          <c:order val="2"/>
          <c:cat>
            <c:multiLvlStrRef>
              <c:f>Sheet3!$F$9:$G$28</c:f>
              <c:multiLvlStrCache>
                <c:ptCount val="20"/>
                <c:lvl>
                  <c:pt idx="0">
                    <c:v>ELECTRONIC</c:v>
                  </c:pt>
                  <c:pt idx="1">
                    <c:v>ELECTRONIC</c:v>
                  </c:pt>
                  <c:pt idx="2">
                    <c:v>ELECTRONIC</c:v>
                  </c:pt>
                  <c:pt idx="3">
                    <c:v>ELECTRONIC</c:v>
                  </c:pt>
                  <c:pt idx="4">
                    <c:v>ELECTRONIC</c:v>
                  </c:pt>
                  <c:pt idx="5">
                    <c:v>ELECTRONIC</c:v>
                  </c:pt>
                  <c:pt idx="6">
                    <c:v>ELECTRONIC</c:v>
                  </c:pt>
                  <c:pt idx="7">
                    <c:v>ELECTRONIC</c:v>
                  </c:pt>
                  <c:pt idx="8">
                    <c:v>ELECTRONIC</c:v>
                  </c:pt>
                  <c:pt idx="9">
                    <c:v>ELECTRONIC</c:v>
                  </c:pt>
                  <c:pt idx="10">
                    <c:v>ELECTRONIC</c:v>
                  </c:pt>
                  <c:pt idx="11">
                    <c:v>ELECTRONIC</c:v>
                  </c:pt>
                  <c:pt idx="12">
                    <c:v>ELECTRONIC</c:v>
                  </c:pt>
                  <c:pt idx="13">
                    <c:v>ELECTRONIC</c:v>
                  </c:pt>
                  <c:pt idx="14">
                    <c:v>ELECTRONIC</c:v>
                  </c:pt>
                  <c:pt idx="15">
                    <c:v>ELECTRONIC</c:v>
                  </c:pt>
                  <c:pt idx="16">
                    <c:v>ELECTRONIC</c:v>
                  </c:pt>
                  <c:pt idx="17">
                    <c:v>ELECTRONIC</c:v>
                  </c:pt>
                  <c:pt idx="18">
                    <c:v>ELECTRONIC</c:v>
                  </c:pt>
                  <c:pt idx="19">
                    <c:v>ELECTRONIC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CLOCK</c:v>
                  </c:pt>
                  <c:pt idx="4">
                    <c:v>MOBILE</c:v>
                  </c:pt>
                  <c:pt idx="5">
                    <c:v>WATCH</c:v>
                  </c:pt>
                  <c:pt idx="6">
                    <c:v>ROBOT</c:v>
                  </c:pt>
                  <c:pt idx="7">
                    <c:v>PRINTER </c:v>
                  </c:pt>
                  <c:pt idx="8">
                    <c:v>SWITCH</c:v>
                  </c:pt>
                  <c:pt idx="9">
                    <c:v>KEYBOARD</c:v>
                  </c:pt>
                  <c:pt idx="10">
                    <c:v>EARBUDS</c:v>
                  </c:pt>
                  <c:pt idx="11">
                    <c:v>INVERTER</c:v>
                  </c:pt>
                  <c:pt idx="12">
                    <c:v>AC</c:v>
                  </c:pt>
                  <c:pt idx="13">
                    <c:v>LIGHT</c:v>
                  </c:pt>
                  <c:pt idx="14">
                    <c:v>SYSTEM</c:v>
                  </c:pt>
                  <c:pt idx="15">
                    <c:v>CAR</c:v>
                  </c:pt>
                  <c:pt idx="16">
                    <c:v>BIKE</c:v>
                  </c:pt>
                  <c:pt idx="17">
                    <c:v>CAMERA</c:v>
                  </c:pt>
                  <c:pt idx="18">
                    <c:v>MICROWAVE</c:v>
                  </c:pt>
                  <c:pt idx="19">
                    <c:v>FAN</c:v>
                  </c:pt>
                </c:lvl>
              </c:multiLvlStrCache>
            </c:multiLvlStrRef>
          </c:cat>
          <c:val>
            <c:numRef>
              <c:f>Sheet3!$J$9:$J$28</c:f>
              <c:numCache>
                <c:formatCode>General</c:formatCode>
                <c:ptCount val="20"/>
                <c:pt idx="0">
                  <c:v>47500</c:v>
                </c:pt>
                <c:pt idx="1">
                  <c:v>4800</c:v>
                </c:pt>
                <c:pt idx="2">
                  <c:v>2700</c:v>
                </c:pt>
                <c:pt idx="3">
                  <c:v>648.6</c:v>
                </c:pt>
                <c:pt idx="4">
                  <c:v>18750</c:v>
                </c:pt>
                <c:pt idx="5">
                  <c:v>1840</c:v>
                </c:pt>
                <c:pt idx="6">
                  <c:v>61000</c:v>
                </c:pt>
                <c:pt idx="7">
                  <c:v>2520</c:v>
                </c:pt>
                <c:pt idx="8">
                  <c:v>485</c:v>
                </c:pt>
                <c:pt idx="9">
                  <c:v>5640</c:v>
                </c:pt>
                <c:pt idx="10">
                  <c:v>8500</c:v>
                </c:pt>
                <c:pt idx="11">
                  <c:v>42600</c:v>
                </c:pt>
                <c:pt idx="12">
                  <c:v>24600</c:v>
                </c:pt>
                <c:pt idx="13">
                  <c:v>93</c:v>
                </c:pt>
                <c:pt idx="14">
                  <c:v>44200</c:v>
                </c:pt>
                <c:pt idx="15">
                  <c:v>1800000</c:v>
                </c:pt>
                <c:pt idx="16">
                  <c:v>800000</c:v>
                </c:pt>
                <c:pt idx="17">
                  <c:v>10010</c:v>
                </c:pt>
                <c:pt idx="18">
                  <c:v>10140</c:v>
                </c:pt>
                <c:pt idx="19">
                  <c:v>1424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107674</xdr:colOff>
      <xdr:row>2</xdr:row>
      <xdr:rowOff>24848</xdr:rowOff>
    </xdr:from>
    <xdr:to>
      <xdr:col>12</xdr:col>
      <xdr:colOff>389282</xdr:colOff>
      <xdr:row>16</xdr:row>
      <xdr:rowOff>99391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14</xdr:row>
      <xdr:rowOff>57150</xdr:rowOff>
    </xdr:from>
    <xdr:to>
      <xdr:col>8</xdr:col>
      <xdr:colOff>581025</xdr:colOff>
      <xdr:row>28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5</xdr:row>
      <xdr:rowOff>19050</xdr:rowOff>
    </xdr:from>
    <xdr:to>
      <xdr:col>18</xdr:col>
      <xdr:colOff>504825</xdr:colOff>
      <xdr:row>27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zoomScale="115" zoomScaleNormal="115" workbookViewId="0">
      <selection activeCell="A4" sqref="A4:D14"/>
    </sheetView>
  </sheetViews>
  <sheetFormatPr defaultRowHeight="15"/>
  <cols>
    <col min="1" max="1" width="29.140625" customWidth="1"/>
  </cols>
  <sheetData>
    <row r="1" spans="1:8">
      <c r="A1" s="14" t="s">
        <v>1</v>
      </c>
      <c r="B1" s="14"/>
      <c r="C1" s="14"/>
      <c r="D1" s="14"/>
    </row>
    <row r="2" spans="1:8">
      <c r="A2" s="15"/>
      <c r="B2" s="15"/>
      <c r="C2" s="15"/>
      <c r="D2" s="15"/>
    </row>
    <row r="3" spans="1:8">
      <c r="A3" s="5" t="s">
        <v>2</v>
      </c>
      <c r="B3" s="5" t="s">
        <v>3</v>
      </c>
      <c r="C3" s="5" t="s">
        <v>4</v>
      </c>
      <c r="D3" s="5" t="s">
        <v>5</v>
      </c>
      <c r="H3" t="s">
        <v>0</v>
      </c>
    </row>
    <row r="4" spans="1:8">
      <c r="A4" s="2" t="s">
        <v>6</v>
      </c>
      <c r="B4" s="3">
        <v>70</v>
      </c>
      <c r="C4" s="2">
        <f>B4*15/100</f>
        <v>10.5</v>
      </c>
      <c r="D4" s="4">
        <v>0.15</v>
      </c>
    </row>
    <row r="5" spans="1:8">
      <c r="A5" s="2" t="s">
        <v>7</v>
      </c>
      <c r="B5" s="3">
        <v>245</v>
      </c>
      <c r="C5" s="2">
        <f>B5*18/100</f>
        <v>44.1</v>
      </c>
      <c r="D5" s="4">
        <v>0.18</v>
      </c>
    </row>
    <row r="6" spans="1:8">
      <c r="A6" s="2" t="s">
        <v>8</v>
      </c>
      <c r="B6" s="3">
        <v>245</v>
      </c>
      <c r="C6" s="2">
        <f>B6*15/100</f>
        <v>36.75</v>
      </c>
      <c r="D6" s="4">
        <v>0.15</v>
      </c>
    </row>
    <row r="7" spans="1:8">
      <c r="A7" s="2" t="s">
        <v>9</v>
      </c>
      <c r="B7" s="3">
        <v>450</v>
      </c>
      <c r="C7" s="3">
        <f>B7*10/100</f>
        <v>45</v>
      </c>
      <c r="D7" s="4">
        <v>0.1</v>
      </c>
    </row>
    <row r="8" spans="1:8">
      <c r="A8" s="2" t="s">
        <v>10</v>
      </c>
      <c r="B8" s="3">
        <v>45</v>
      </c>
      <c r="C8" s="3">
        <f>B8*20/100</f>
        <v>9</v>
      </c>
      <c r="D8" s="4">
        <v>0.2</v>
      </c>
    </row>
    <row r="9" spans="1:8">
      <c r="A9" s="2" t="s">
        <v>11</v>
      </c>
      <c r="B9" s="3">
        <v>95</v>
      </c>
      <c r="C9" s="3">
        <v>95</v>
      </c>
      <c r="D9" s="4">
        <v>0</v>
      </c>
    </row>
    <row r="10" spans="1:8">
      <c r="A10" s="2" t="s">
        <v>12</v>
      </c>
      <c r="B10" s="3">
        <v>999</v>
      </c>
      <c r="C10" s="2">
        <f>B10*10/100</f>
        <v>99.9</v>
      </c>
      <c r="D10" s="4">
        <v>0.1</v>
      </c>
    </row>
    <row r="11" spans="1:8">
      <c r="A11" s="2" t="s">
        <v>13</v>
      </c>
      <c r="B11" s="3">
        <v>1299</v>
      </c>
      <c r="C11" s="2">
        <f>B11*19/100</f>
        <v>246.81</v>
      </c>
      <c r="D11" s="4">
        <v>0.19</v>
      </c>
    </row>
    <row r="12" spans="1:8">
      <c r="A12" s="2" t="s">
        <v>14</v>
      </c>
      <c r="B12" s="3">
        <v>1599</v>
      </c>
      <c r="C12" s="2">
        <f>B12*19/100</f>
        <v>303.81</v>
      </c>
      <c r="D12" s="4">
        <v>0.19</v>
      </c>
    </row>
    <row r="13" spans="1:8">
      <c r="A13" s="2" t="s">
        <v>15</v>
      </c>
      <c r="B13" s="3">
        <v>19</v>
      </c>
      <c r="C13" s="2">
        <f>B13*25/100</f>
        <v>4.75</v>
      </c>
      <c r="D13" s="4">
        <v>0.25</v>
      </c>
    </row>
    <row r="14" spans="1:8">
      <c r="A14" s="2" t="s">
        <v>16</v>
      </c>
      <c r="B14" s="3">
        <v>19</v>
      </c>
      <c r="C14" s="2">
        <f>B14*15/100</f>
        <v>2.85</v>
      </c>
      <c r="D14" s="4">
        <v>0.15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selection activeCell="A3" sqref="A3:L12"/>
    </sheetView>
  </sheetViews>
  <sheetFormatPr defaultRowHeight="15"/>
  <cols>
    <col min="3" max="3" width="18.140625" customWidth="1"/>
    <col min="4" max="4" width="13.42578125" customWidth="1"/>
    <col min="5" max="5" width="21.85546875" customWidth="1"/>
    <col min="6" max="6" width="24.5703125" customWidth="1"/>
    <col min="7" max="7" width="25.5703125" customWidth="1"/>
    <col min="8" max="8" width="10.7109375" customWidth="1"/>
    <col min="9" max="9" width="12.140625" customWidth="1"/>
    <col min="10" max="11" width="18.42578125" customWidth="1"/>
    <col min="12" max="12" width="16.85546875" customWidth="1"/>
  </cols>
  <sheetData>
    <row r="1" spans="1:12" ht="23.2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6" t="s">
        <v>18</v>
      </c>
      <c r="B2" s="6"/>
      <c r="C2" s="7" t="s">
        <v>19</v>
      </c>
      <c r="D2" s="6" t="s">
        <v>20</v>
      </c>
      <c r="E2" s="6" t="s">
        <v>21</v>
      </c>
      <c r="F2" s="6" t="s">
        <v>23</v>
      </c>
      <c r="G2" s="6" t="s">
        <v>22</v>
      </c>
      <c r="H2" s="6" t="s">
        <v>24</v>
      </c>
      <c r="I2" s="6" t="s">
        <v>25</v>
      </c>
      <c r="J2" s="6" t="s">
        <v>29</v>
      </c>
      <c r="K2" s="6" t="s">
        <v>38</v>
      </c>
      <c r="L2" s="6" t="s">
        <v>30</v>
      </c>
    </row>
    <row r="3" spans="1:12">
      <c r="A3" s="17">
        <v>20110</v>
      </c>
      <c r="B3" s="17"/>
      <c r="C3" s="12" t="s">
        <v>26</v>
      </c>
      <c r="D3" s="9">
        <v>25560</v>
      </c>
      <c r="E3" s="9">
        <v>500</v>
      </c>
      <c r="F3" s="13">
        <f>D3*10/100</f>
        <v>2556</v>
      </c>
      <c r="G3" s="9">
        <v>1000</v>
      </c>
      <c r="H3" s="9">
        <f t="shared" ref="H3:H12" si="0">D3+E3+F3+G3</f>
        <v>29616</v>
      </c>
      <c r="I3" s="9">
        <v>500</v>
      </c>
      <c r="J3" s="10">
        <f t="shared" ref="J3:J12" si="1">D3*3.17/100</f>
        <v>810.25199999999995</v>
      </c>
      <c r="K3" s="10">
        <f t="shared" ref="K3:K12" si="2">I3+J3</f>
        <v>1310.252</v>
      </c>
      <c r="L3" s="10">
        <f t="shared" ref="L3:L12" si="3">H3-K3</f>
        <v>28305.748</v>
      </c>
    </row>
    <row r="4" spans="1:12">
      <c r="A4" s="17">
        <v>20111</v>
      </c>
      <c r="B4" s="17"/>
      <c r="C4" s="12" t="s">
        <v>27</v>
      </c>
      <c r="D4" s="9">
        <v>35000</v>
      </c>
      <c r="E4" s="9">
        <v>500</v>
      </c>
      <c r="F4" s="9">
        <f>D4*10/100</f>
        <v>3500</v>
      </c>
      <c r="G4" s="9">
        <v>1000</v>
      </c>
      <c r="H4" s="9">
        <f t="shared" si="0"/>
        <v>40000</v>
      </c>
      <c r="I4" s="9">
        <v>500</v>
      </c>
      <c r="J4" s="10">
        <f t="shared" si="1"/>
        <v>1109.5</v>
      </c>
      <c r="K4" s="10">
        <f t="shared" si="2"/>
        <v>1609.5</v>
      </c>
      <c r="L4" s="10">
        <f t="shared" si="3"/>
        <v>38390.5</v>
      </c>
    </row>
    <row r="5" spans="1:12">
      <c r="A5" s="17">
        <v>20112</v>
      </c>
      <c r="B5" s="17"/>
      <c r="C5" s="12" t="s">
        <v>28</v>
      </c>
      <c r="D5" s="9">
        <v>32000</v>
      </c>
      <c r="E5" s="9">
        <v>500</v>
      </c>
      <c r="F5" s="9">
        <f>D5*10/100</f>
        <v>3200</v>
      </c>
      <c r="G5" s="9">
        <v>1000</v>
      </c>
      <c r="H5" s="9">
        <f t="shared" si="0"/>
        <v>36700</v>
      </c>
      <c r="I5" s="9">
        <v>500</v>
      </c>
      <c r="J5" s="10">
        <f t="shared" si="1"/>
        <v>1014.4</v>
      </c>
      <c r="K5" s="10">
        <f t="shared" si="2"/>
        <v>1514.4</v>
      </c>
      <c r="L5" s="10">
        <f t="shared" si="3"/>
        <v>35185.599999999999</v>
      </c>
    </row>
    <row r="6" spans="1:12">
      <c r="A6" s="17">
        <v>20113</v>
      </c>
      <c r="B6" s="17"/>
      <c r="C6" s="12" t="s">
        <v>31</v>
      </c>
      <c r="D6" s="9">
        <v>27600</v>
      </c>
      <c r="E6" s="9">
        <v>500</v>
      </c>
      <c r="F6" s="9">
        <f>D6*10/100</f>
        <v>2760</v>
      </c>
      <c r="G6" s="9">
        <v>1000</v>
      </c>
      <c r="H6" s="9">
        <f t="shared" si="0"/>
        <v>31860</v>
      </c>
      <c r="I6" s="9">
        <v>500</v>
      </c>
      <c r="J6" s="10">
        <f t="shared" si="1"/>
        <v>874.92</v>
      </c>
      <c r="K6" s="10">
        <f t="shared" si="2"/>
        <v>1374.92</v>
      </c>
      <c r="L6" s="10">
        <f t="shared" si="3"/>
        <v>30485.08</v>
      </c>
    </row>
    <row r="7" spans="1:12">
      <c r="A7" s="17">
        <v>20114</v>
      </c>
      <c r="B7" s="17"/>
      <c r="C7" s="12" t="s">
        <v>32</v>
      </c>
      <c r="D7" s="9">
        <v>29300</v>
      </c>
      <c r="E7" s="9">
        <v>500</v>
      </c>
      <c r="F7" s="9">
        <f xml:space="preserve"> D7*10/100</f>
        <v>2930</v>
      </c>
      <c r="G7" s="9">
        <v>1000</v>
      </c>
      <c r="H7" s="9">
        <f t="shared" si="0"/>
        <v>33730</v>
      </c>
      <c r="I7" s="9">
        <v>500</v>
      </c>
      <c r="J7" s="10">
        <f t="shared" si="1"/>
        <v>928.81</v>
      </c>
      <c r="K7" s="10">
        <f t="shared" si="2"/>
        <v>1428.81</v>
      </c>
      <c r="L7" s="10">
        <f t="shared" si="3"/>
        <v>32301.19</v>
      </c>
    </row>
    <row r="8" spans="1:12">
      <c r="A8" s="17">
        <v>20115</v>
      </c>
      <c r="B8" s="17"/>
      <c r="C8" s="12" t="s">
        <v>33</v>
      </c>
      <c r="D8" s="9">
        <v>40000</v>
      </c>
      <c r="E8" s="9">
        <v>500</v>
      </c>
      <c r="F8" s="9">
        <f>D8*10/100</f>
        <v>4000</v>
      </c>
      <c r="G8" s="9">
        <v>1000</v>
      </c>
      <c r="H8" s="9">
        <f t="shared" si="0"/>
        <v>45500</v>
      </c>
      <c r="I8" s="9">
        <v>500</v>
      </c>
      <c r="J8" s="10">
        <f t="shared" si="1"/>
        <v>1268</v>
      </c>
      <c r="K8" s="10">
        <f t="shared" si="2"/>
        <v>1768</v>
      </c>
      <c r="L8" s="10">
        <f t="shared" si="3"/>
        <v>43732</v>
      </c>
    </row>
    <row r="9" spans="1:12">
      <c r="A9" s="17">
        <v>20116</v>
      </c>
      <c r="B9" s="17"/>
      <c r="C9" s="12" t="s">
        <v>34</v>
      </c>
      <c r="D9" s="9">
        <v>35700</v>
      </c>
      <c r="E9" s="9">
        <v>500</v>
      </c>
      <c r="F9" s="9">
        <f>D9*10/100</f>
        <v>3570</v>
      </c>
      <c r="G9" s="9">
        <v>1000</v>
      </c>
      <c r="H9" s="9">
        <f t="shared" si="0"/>
        <v>40770</v>
      </c>
      <c r="I9" s="9">
        <v>500</v>
      </c>
      <c r="J9" s="10">
        <f t="shared" si="1"/>
        <v>1131.69</v>
      </c>
      <c r="K9" s="10">
        <f t="shared" si="2"/>
        <v>1631.69</v>
      </c>
      <c r="L9" s="10">
        <f t="shared" si="3"/>
        <v>39138.31</v>
      </c>
    </row>
    <row r="10" spans="1:12">
      <c r="A10" s="17">
        <v>20117</v>
      </c>
      <c r="B10" s="17"/>
      <c r="C10" s="12" t="s">
        <v>35</v>
      </c>
      <c r="D10" s="9">
        <v>28700</v>
      </c>
      <c r="E10" s="9">
        <v>500</v>
      </c>
      <c r="F10" s="9">
        <f>D10*10/100</f>
        <v>2870</v>
      </c>
      <c r="G10" s="9">
        <v>1000</v>
      </c>
      <c r="H10" s="9">
        <f t="shared" si="0"/>
        <v>33070</v>
      </c>
      <c r="I10" s="9">
        <v>500</v>
      </c>
      <c r="J10" s="10">
        <f t="shared" si="1"/>
        <v>909.79</v>
      </c>
      <c r="K10" s="10">
        <f t="shared" si="2"/>
        <v>1409.79</v>
      </c>
      <c r="L10" s="10">
        <f t="shared" si="3"/>
        <v>31660.21</v>
      </c>
    </row>
    <row r="11" spans="1:12">
      <c r="A11" s="17">
        <v>20118</v>
      </c>
      <c r="B11" s="17"/>
      <c r="C11" s="12" t="s">
        <v>36</v>
      </c>
      <c r="D11" s="9">
        <v>32000</v>
      </c>
      <c r="E11" s="9">
        <v>500</v>
      </c>
      <c r="F11" s="9">
        <f>D11*10/100</f>
        <v>3200</v>
      </c>
      <c r="G11" s="9">
        <v>1000</v>
      </c>
      <c r="H11" s="9">
        <f t="shared" si="0"/>
        <v>36700</v>
      </c>
      <c r="I11" s="9">
        <v>500</v>
      </c>
      <c r="J11" s="10">
        <f t="shared" si="1"/>
        <v>1014.4</v>
      </c>
      <c r="K11" s="10">
        <f t="shared" si="2"/>
        <v>1514.4</v>
      </c>
      <c r="L11" s="10">
        <f t="shared" si="3"/>
        <v>35185.599999999999</v>
      </c>
    </row>
    <row r="12" spans="1:12">
      <c r="A12" s="17">
        <v>20119</v>
      </c>
      <c r="B12" s="17"/>
      <c r="C12" s="12" t="s">
        <v>37</v>
      </c>
      <c r="D12" s="9">
        <v>23600</v>
      </c>
      <c r="E12" s="9">
        <v>500</v>
      </c>
      <c r="F12" s="9">
        <f>D12*10/100</f>
        <v>2360</v>
      </c>
      <c r="G12" s="9">
        <v>1000</v>
      </c>
      <c r="H12" s="9">
        <f t="shared" si="0"/>
        <v>27460</v>
      </c>
      <c r="I12" s="9">
        <v>500</v>
      </c>
      <c r="J12" s="10">
        <f t="shared" si="1"/>
        <v>748.12</v>
      </c>
      <c r="K12" s="10">
        <f t="shared" si="2"/>
        <v>1248.1199999999999</v>
      </c>
      <c r="L12" s="10">
        <f t="shared" si="3"/>
        <v>26211.88</v>
      </c>
    </row>
    <row r="13" spans="1:12">
      <c r="A13" s="18"/>
      <c r="B13" s="18"/>
      <c r="I13" s="11"/>
      <c r="J13" s="11"/>
      <c r="K13" s="11"/>
      <c r="L13" s="11"/>
    </row>
    <row r="14" spans="1:12">
      <c r="A14" s="18"/>
      <c r="B14" s="18"/>
    </row>
    <row r="17" spans="6:6">
      <c r="F17" s="8"/>
    </row>
  </sheetData>
  <mergeCells count="13">
    <mergeCell ref="A13:B13"/>
    <mergeCell ref="A14:B14"/>
    <mergeCell ref="A3:B3"/>
    <mergeCell ref="A4:B4"/>
    <mergeCell ref="A5:B5"/>
    <mergeCell ref="A6:B6"/>
    <mergeCell ref="A7:B7"/>
    <mergeCell ref="A8:B8"/>
    <mergeCell ref="A1:L1"/>
    <mergeCell ref="A9:B9"/>
    <mergeCell ref="A10:B10"/>
    <mergeCell ref="A11:B11"/>
    <mergeCell ref="A12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6:R28"/>
  <sheetViews>
    <sheetView tabSelected="1" workbookViewId="0">
      <selection activeCell="F9" sqref="F9:J28"/>
    </sheetView>
  </sheetViews>
  <sheetFormatPr defaultRowHeight="15"/>
  <cols>
    <col min="5" max="5" width="15.42578125" customWidth="1"/>
    <col min="6" max="6" width="15.140625" customWidth="1"/>
    <col min="7" max="7" width="21.42578125" customWidth="1"/>
    <col min="9" max="9" width="10.42578125" customWidth="1"/>
    <col min="10" max="10" width="11.5703125" customWidth="1"/>
  </cols>
  <sheetData>
    <row r="6" spans="4:18">
      <c r="D6" s="31" t="s">
        <v>87</v>
      </c>
      <c r="E6" s="29"/>
      <c r="F6" s="29"/>
      <c r="G6" s="29"/>
      <c r="H6" s="29"/>
      <c r="I6" s="29"/>
      <c r="J6" s="29"/>
    </row>
    <row r="7" spans="4:18" ht="15.75" thickBot="1">
      <c r="D7" s="30"/>
      <c r="E7" s="30"/>
      <c r="F7" s="30"/>
      <c r="G7" s="30"/>
      <c r="H7" s="30"/>
      <c r="I7" s="30"/>
      <c r="J7" s="30"/>
    </row>
    <row r="8" spans="4:18" ht="15.75" thickBot="1">
      <c r="D8" s="19" t="s">
        <v>39</v>
      </c>
      <c r="E8" s="20" t="s">
        <v>40</v>
      </c>
      <c r="F8" s="20" t="s">
        <v>41</v>
      </c>
      <c r="G8" s="20" t="s">
        <v>42</v>
      </c>
      <c r="H8" s="20" t="s">
        <v>43</v>
      </c>
      <c r="I8" s="20" t="s">
        <v>44</v>
      </c>
      <c r="J8" s="21" t="s">
        <v>86</v>
      </c>
      <c r="L8" s="1"/>
      <c r="M8" s="1"/>
      <c r="N8" s="1"/>
      <c r="O8" s="1"/>
      <c r="P8" s="1"/>
      <c r="Q8" s="1"/>
      <c r="R8" s="1"/>
    </row>
    <row r="9" spans="4:18">
      <c r="D9" s="22">
        <v>1</v>
      </c>
      <c r="E9" s="23" t="s">
        <v>45</v>
      </c>
      <c r="F9" s="23" t="s">
        <v>65</v>
      </c>
      <c r="G9" s="23" t="s">
        <v>85</v>
      </c>
      <c r="H9" s="23">
        <v>50000</v>
      </c>
      <c r="I9" s="32">
        <v>0.05</v>
      </c>
      <c r="J9" s="33">
        <f>H9-(H9*I9)</f>
        <v>47500</v>
      </c>
      <c r="L9" s="28"/>
      <c r="M9" s="28"/>
      <c r="N9" s="28"/>
      <c r="O9" s="28"/>
      <c r="P9" s="28"/>
      <c r="Q9" s="28"/>
      <c r="R9" s="28"/>
    </row>
    <row r="10" spans="4:18">
      <c r="D10" s="24">
        <v>2</v>
      </c>
      <c r="E10" s="25" t="s">
        <v>46</v>
      </c>
      <c r="F10" s="25" t="s">
        <v>66</v>
      </c>
      <c r="G10" s="25" t="s">
        <v>85</v>
      </c>
      <c r="H10" s="25">
        <v>5000</v>
      </c>
      <c r="I10" s="34">
        <v>0.04</v>
      </c>
      <c r="J10" s="35">
        <f t="shared" ref="J10:J28" si="0">H10-(H10*I10)</f>
        <v>4800</v>
      </c>
    </row>
    <row r="11" spans="4:18">
      <c r="D11" s="24">
        <v>3</v>
      </c>
      <c r="E11" s="25" t="s">
        <v>47</v>
      </c>
      <c r="F11" s="25" t="s">
        <v>67</v>
      </c>
      <c r="G11" s="25" t="s">
        <v>85</v>
      </c>
      <c r="H11" s="25">
        <v>3000</v>
      </c>
      <c r="I11" s="36">
        <v>0.1</v>
      </c>
      <c r="J11" s="35">
        <f t="shared" si="0"/>
        <v>2700</v>
      </c>
    </row>
    <row r="12" spans="4:18">
      <c r="D12" s="24">
        <v>4</v>
      </c>
      <c r="E12" s="25" t="s">
        <v>48</v>
      </c>
      <c r="F12" s="25" t="s">
        <v>68</v>
      </c>
      <c r="G12" s="25" t="s">
        <v>85</v>
      </c>
      <c r="H12" s="25">
        <v>690</v>
      </c>
      <c r="I12" s="36">
        <v>0.06</v>
      </c>
      <c r="J12" s="35">
        <f t="shared" si="0"/>
        <v>648.6</v>
      </c>
    </row>
    <row r="13" spans="4:18">
      <c r="D13" s="24">
        <v>5</v>
      </c>
      <c r="E13" s="25" t="s">
        <v>49</v>
      </c>
      <c r="F13" s="25" t="s">
        <v>69</v>
      </c>
      <c r="G13" s="25" t="s">
        <v>85</v>
      </c>
      <c r="H13" s="25">
        <v>25000</v>
      </c>
      <c r="I13" s="36">
        <v>0.25</v>
      </c>
      <c r="J13" s="35">
        <f t="shared" si="0"/>
        <v>18750</v>
      </c>
    </row>
    <row r="14" spans="4:18">
      <c r="D14" s="24">
        <v>6</v>
      </c>
      <c r="E14" s="25" t="s">
        <v>50</v>
      </c>
      <c r="F14" s="25" t="s">
        <v>70</v>
      </c>
      <c r="G14" s="25" t="s">
        <v>85</v>
      </c>
      <c r="H14" s="25">
        <v>2000</v>
      </c>
      <c r="I14" s="36">
        <v>0.08</v>
      </c>
      <c r="J14" s="35">
        <f t="shared" si="0"/>
        <v>1840</v>
      </c>
    </row>
    <row r="15" spans="4:18">
      <c r="D15" s="24">
        <v>7</v>
      </c>
      <c r="E15" s="25" t="s">
        <v>51</v>
      </c>
      <c r="F15" s="25" t="s">
        <v>71</v>
      </c>
      <c r="G15" s="25" t="s">
        <v>85</v>
      </c>
      <c r="H15" s="25">
        <v>100000</v>
      </c>
      <c r="I15" s="36">
        <v>0.39</v>
      </c>
      <c r="J15" s="35">
        <f t="shared" si="0"/>
        <v>61000</v>
      </c>
    </row>
    <row r="16" spans="4:18">
      <c r="D16" s="24">
        <v>8</v>
      </c>
      <c r="E16" s="25" t="s">
        <v>52</v>
      </c>
      <c r="F16" s="25" t="s">
        <v>72</v>
      </c>
      <c r="G16" s="25" t="s">
        <v>85</v>
      </c>
      <c r="H16" s="25">
        <v>3000</v>
      </c>
      <c r="I16" s="36">
        <v>0.16</v>
      </c>
      <c r="J16" s="35">
        <f t="shared" si="0"/>
        <v>2520</v>
      </c>
    </row>
    <row r="17" spans="4:10">
      <c r="D17" s="24">
        <v>9</v>
      </c>
      <c r="E17" s="25" t="s">
        <v>53</v>
      </c>
      <c r="F17" s="25" t="s">
        <v>73</v>
      </c>
      <c r="G17" s="25" t="s">
        <v>85</v>
      </c>
      <c r="H17" s="25">
        <v>500</v>
      </c>
      <c r="I17" s="36">
        <v>0.03</v>
      </c>
      <c r="J17" s="35">
        <f t="shared" si="0"/>
        <v>485</v>
      </c>
    </row>
    <row r="18" spans="4:10">
      <c r="D18" s="24">
        <v>10</v>
      </c>
      <c r="E18" s="25" t="s">
        <v>54</v>
      </c>
      <c r="F18" s="25" t="s">
        <v>74</v>
      </c>
      <c r="G18" s="25" t="s">
        <v>85</v>
      </c>
      <c r="H18" s="25">
        <v>6000</v>
      </c>
      <c r="I18" s="36">
        <v>0.06</v>
      </c>
      <c r="J18" s="35">
        <f t="shared" si="0"/>
        <v>5640</v>
      </c>
    </row>
    <row r="19" spans="4:10">
      <c r="D19" s="24">
        <v>11</v>
      </c>
      <c r="E19" s="25" t="s">
        <v>55</v>
      </c>
      <c r="F19" s="25" t="s">
        <v>75</v>
      </c>
      <c r="G19" s="25" t="s">
        <v>85</v>
      </c>
      <c r="H19" s="25">
        <v>10000</v>
      </c>
      <c r="I19" s="36">
        <v>0.15</v>
      </c>
      <c r="J19" s="35">
        <f t="shared" si="0"/>
        <v>8500</v>
      </c>
    </row>
    <row r="20" spans="4:10">
      <c r="D20" s="24">
        <v>12</v>
      </c>
      <c r="E20" s="25" t="s">
        <v>56</v>
      </c>
      <c r="F20" s="25" t="s">
        <v>76</v>
      </c>
      <c r="G20" s="25" t="s">
        <v>85</v>
      </c>
      <c r="H20" s="25">
        <v>60000</v>
      </c>
      <c r="I20" s="36">
        <v>0.28999999999999998</v>
      </c>
      <c r="J20" s="35">
        <f t="shared" si="0"/>
        <v>42600</v>
      </c>
    </row>
    <row r="21" spans="4:10">
      <c r="D21" s="24">
        <v>13</v>
      </c>
      <c r="E21" s="25" t="s">
        <v>57</v>
      </c>
      <c r="F21" s="25" t="s">
        <v>77</v>
      </c>
      <c r="G21" s="25" t="s">
        <v>85</v>
      </c>
      <c r="H21" s="25">
        <v>30000</v>
      </c>
      <c r="I21" s="36">
        <v>0.18</v>
      </c>
      <c r="J21" s="35">
        <f t="shared" si="0"/>
        <v>24600</v>
      </c>
    </row>
    <row r="22" spans="4:10">
      <c r="D22" s="24">
        <v>14</v>
      </c>
      <c r="E22" s="25" t="s">
        <v>58</v>
      </c>
      <c r="F22" s="25" t="s">
        <v>78</v>
      </c>
      <c r="G22" s="25" t="s">
        <v>85</v>
      </c>
      <c r="H22" s="25">
        <v>100</v>
      </c>
      <c r="I22" s="36">
        <v>7.0000000000000007E-2</v>
      </c>
      <c r="J22" s="35">
        <f t="shared" si="0"/>
        <v>93</v>
      </c>
    </row>
    <row r="23" spans="4:10">
      <c r="D23" s="24">
        <v>15</v>
      </c>
      <c r="E23" s="25" t="s">
        <v>59</v>
      </c>
      <c r="F23" s="25" t="s">
        <v>79</v>
      </c>
      <c r="G23" s="25" t="s">
        <v>85</v>
      </c>
      <c r="H23" s="25">
        <v>68000</v>
      </c>
      <c r="I23" s="36">
        <v>0.35</v>
      </c>
      <c r="J23" s="35">
        <f t="shared" si="0"/>
        <v>44200</v>
      </c>
    </row>
    <row r="24" spans="4:10">
      <c r="D24" s="24">
        <v>16</v>
      </c>
      <c r="E24" s="25" t="s">
        <v>60</v>
      </c>
      <c r="F24" s="25" t="s">
        <v>80</v>
      </c>
      <c r="G24" s="25" t="s">
        <v>85</v>
      </c>
      <c r="H24" s="25">
        <v>3000000</v>
      </c>
      <c r="I24" s="36">
        <v>0.4</v>
      </c>
      <c r="J24" s="35">
        <f t="shared" si="0"/>
        <v>1800000</v>
      </c>
    </row>
    <row r="25" spans="4:10">
      <c r="D25" s="24">
        <v>17</v>
      </c>
      <c r="E25" s="25" t="s">
        <v>61</v>
      </c>
      <c r="F25" s="25" t="s">
        <v>81</v>
      </c>
      <c r="G25" s="25" t="s">
        <v>85</v>
      </c>
      <c r="H25" s="25">
        <v>1000000</v>
      </c>
      <c r="I25" s="36">
        <v>0.2</v>
      </c>
      <c r="J25" s="35">
        <f t="shared" si="0"/>
        <v>800000</v>
      </c>
    </row>
    <row r="26" spans="4:10">
      <c r="D26" s="24">
        <v>18</v>
      </c>
      <c r="E26" s="25" t="s">
        <v>62</v>
      </c>
      <c r="F26" s="25" t="s">
        <v>82</v>
      </c>
      <c r="G26" s="25" t="s">
        <v>85</v>
      </c>
      <c r="H26" s="25">
        <v>13000</v>
      </c>
      <c r="I26" s="36">
        <v>0.23</v>
      </c>
      <c r="J26" s="35">
        <f t="shared" si="0"/>
        <v>10010</v>
      </c>
    </row>
    <row r="27" spans="4:10">
      <c r="D27" s="24">
        <v>19</v>
      </c>
      <c r="E27" s="25" t="s">
        <v>63</v>
      </c>
      <c r="F27" s="25" t="s">
        <v>83</v>
      </c>
      <c r="G27" s="25" t="s">
        <v>85</v>
      </c>
      <c r="H27" s="25">
        <v>13000</v>
      </c>
      <c r="I27" s="36">
        <v>0.22</v>
      </c>
      <c r="J27" s="35">
        <f t="shared" si="0"/>
        <v>10140</v>
      </c>
    </row>
    <row r="28" spans="4:10" ht="15.75" thickBot="1">
      <c r="D28" s="26">
        <v>20</v>
      </c>
      <c r="E28" s="27" t="s">
        <v>64</v>
      </c>
      <c r="F28" s="27" t="s">
        <v>84</v>
      </c>
      <c r="G28" s="27" t="s">
        <v>85</v>
      </c>
      <c r="H28" s="27">
        <v>1600</v>
      </c>
      <c r="I28" s="37">
        <v>0.11</v>
      </c>
      <c r="J28" s="38">
        <f t="shared" si="0"/>
        <v>1424</v>
      </c>
    </row>
  </sheetData>
  <mergeCells count="1">
    <mergeCell ref="D6:J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2024-09-13T05:30:20Z</dcterms:created>
  <dcterms:modified xsi:type="dcterms:W3CDTF">2024-09-19T05:32:38Z</dcterms:modified>
</cp:coreProperties>
</file>